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tgcs-my.sharepoint.com/personal/u120326_straumann_com/Documents/Desktop/"/>
    </mc:Choice>
  </mc:AlternateContent>
  <xr:revisionPtr revIDLastSave="0" documentId="8_{65401BDB-C31D-470B-9FBB-B18D37E20D12}" xr6:coauthVersionLast="47" xr6:coauthVersionMax="47" xr10:uidLastSave="{00000000-0000-0000-0000-000000000000}"/>
  <bookViews>
    <workbookView xWindow="-57720" yWindow="-120" windowWidth="29040" windowHeight="15720" xr2:uid="{1101AC02-676C-416D-9519-DAF84C9EF518}"/>
  </bookViews>
  <sheets>
    <sheet name="Overview " sheetId="5" r:id="rId1"/>
    <sheet name="Paid vs Unpaid Trend" sheetId="3" r:id="rId2"/>
    <sheet name="Overdue by Region" sheetId="2" r:id="rId3"/>
    <sheet name="Customer Type Mix" sheetId="4" r:id="rId4"/>
    <sheet name="Top 10" sheetId="8" r:id="rId5"/>
    <sheet name="Data" sheetId="1" r:id="rId6"/>
  </sheets>
  <definedNames>
    <definedName name="_xlnm._FilterDatabase" localSheetId="5" hidden="1">Data!$B$3:$L$23</definedName>
  </definedNames>
  <calcPr calcId="191029" concurrentManualCount="8"/>
  <pivotCaches>
    <pivotCache cacheId="31" r:id="rId7"/>
    <pivotCache cacheId="55" r:id="rId8"/>
    <pivotCache cacheId="4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K9" i="1"/>
  <c r="K22" i="1"/>
  <c r="K10" i="1"/>
  <c r="K7" i="1"/>
  <c r="K21" i="1"/>
  <c r="K16" i="1"/>
  <c r="K6" i="1"/>
  <c r="K12" i="1"/>
  <c r="K14" i="1"/>
  <c r="K5" i="1"/>
  <c r="K20" i="1"/>
  <c r="K11" i="1"/>
  <c r="K8" i="1"/>
  <c r="K23" i="1"/>
  <c r="K15" i="1"/>
  <c r="K4" i="1"/>
  <c r="K19" i="1"/>
  <c r="K17" i="1"/>
  <c r="K18" i="1"/>
  <c r="J18" i="1"/>
  <c r="L18" i="1" s="1"/>
  <c r="J13" i="1"/>
  <c r="L13" i="1" s="1"/>
  <c r="J9" i="1"/>
  <c r="L9" i="1" s="1"/>
  <c r="J22" i="1"/>
  <c r="L22" i="1" s="1"/>
  <c r="J10" i="1"/>
  <c r="L10" i="1" s="1"/>
  <c r="J7" i="1"/>
  <c r="L7" i="1" s="1"/>
  <c r="J21" i="1"/>
  <c r="L21" i="1" s="1"/>
  <c r="J16" i="1"/>
  <c r="L16" i="1" s="1"/>
  <c r="J6" i="1"/>
  <c r="L6" i="1" s="1"/>
  <c r="J12" i="1"/>
  <c r="L12" i="1" s="1"/>
  <c r="J14" i="1"/>
  <c r="L14" i="1" s="1"/>
  <c r="J5" i="1"/>
  <c r="L5" i="1" s="1"/>
  <c r="J20" i="1"/>
  <c r="L20" i="1" s="1"/>
  <c r="J11" i="1"/>
  <c r="L11" i="1" s="1"/>
  <c r="J8" i="1"/>
  <c r="L8" i="1" s="1"/>
  <c r="J23" i="1"/>
  <c r="L23" i="1" s="1"/>
  <c r="J15" i="1"/>
  <c r="L15" i="1" s="1"/>
  <c r="J4" i="1"/>
  <c r="L4" i="1" s="1"/>
  <c r="J19" i="1"/>
  <c r="L19" i="1" s="1"/>
  <c r="J17" i="1"/>
  <c r="L17" i="1" s="1"/>
</calcChain>
</file>

<file path=xl/sharedStrings.xml><?xml version="1.0" encoding="utf-8"?>
<sst xmlns="http://schemas.openxmlformats.org/spreadsheetml/2006/main" count="146" uniqueCount="72">
  <si>
    <t>Customer</t>
  </si>
  <si>
    <t>Region</t>
  </si>
  <si>
    <t>INV001</t>
  </si>
  <si>
    <t>INV002</t>
  </si>
  <si>
    <t>Paid</t>
  </si>
  <si>
    <t xml:space="preserve">Customer Name </t>
  </si>
  <si>
    <t xml:space="preserve"> Region </t>
  </si>
  <si>
    <t xml:space="preserve"> Customer Type </t>
  </si>
  <si>
    <t xml:space="preserve"> Invoice Date </t>
  </si>
  <si>
    <t xml:space="preserve"> Due Date </t>
  </si>
  <si>
    <t xml:space="preserve"> Amount </t>
  </si>
  <si>
    <t xml:space="preserve"> Paid</t>
  </si>
  <si>
    <t xml:space="preserve">Alpha Ltd </t>
  </si>
  <si>
    <t xml:space="preserve"> North </t>
  </si>
  <si>
    <t xml:space="preserve"> Corporate </t>
  </si>
  <si>
    <t xml:space="preserve">Beta Ltd </t>
  </si>
  <si>
    <t xml:space="preserve"> South </t>
  </si>
  <si>
    <t xml:space="preserve"> SME </t>
  </si>
  <si>
    <t xml:space="preserve">Gamma Ltd </t>
  </si>
  <si>
    <t xml:space="preserve"> East </t>
  </si>
  <si>
    <t xml:space="preserve">Delta Ltd </t>
  </si>
  <si>
    <t xml:space="preserve"> West </t>
  </si>
  <si>
    <t xml:space="preserve">Epsilon Ltd </t>
  </si>
  <si>
    <t xml:space="preserve">Zeta Ltd </t>
  </si>
  <si>
    <t xml:space="preserve">Eta Ltd </t>
  </si>
  <si>
    <t xml:space="preserve">Theta Ltd </t>
  </si>
  <si>
    <t xml:space="preserve">Iota Ltd </t>
  </si>
  <si>
    <t xml:space="preserve">Kappa Ltd </t>
  </si>
  <si>
    <t xml:space="preserve">Lambda Ltd </t>
  </si>
  <si>
    <t xml:space="preserve">Mu Ltd </t>
  </si>
  <si>
    <t xml:space="preserve">Nu Ltd </t>
  </si>
  <si>
    <t xml:space="preserve">Xi Ltd </t>
  </si>
  <si>
    <t xml:space="preserve">Omicron Ltd </t>
  </si>
  <si>
    <t xml:space="preserve">Pi Ltd </t>
  </si>
  <si>
    <t xml:space="preserve">Rho Ltd </t>
  </si>
  <si>
    <t xml:space="preserve">Sigma Ltd </t>
  </si>
  <si>
    <t xml:space="preserve">Tau Ltd </t>
  </si>
  <si>
    <t xml:space="preserve">Upsilon Ltd </t>
  </si>
  <si>
    <t>Days Overdue</t>
  </si>
  <si>
    <t>N</t>
  </si>
  <si>
    <t>Y</t>
  </si>
  <si>
    <t>Overdue Amount</t>
  </si>
  <si>
    <t>Age Buckets</t>
  </si>
  <si>
    <t>InvoiceNo</t>
  </si>
  <si>
    <t>INV018</t>
  </si>
  <si>
    <t>INV012</t>
  </si>
  <si>
    <t>INV009</t>
  </si>
  <si>
    <t>INV006</t>
  </si>
  <si>
    <t>INV015</t>
  </si>
  <si>
    <t>INV003</t>
  </si>
  <si>
    <t>INV005</t>
  </si>
  <si>
    <t>INV014</t>
  </si>
  <si>
    <t>INV010</t>
  </si>
  <si>
    <t>INV011</t>
  </si>
  <si>
    <t>INV017</t>
  </si>
  <si>
    <t>INV008</t>
  </si>
  <si>
    <t>INV020</t>
  </si>
  <si>
    <t>INV019</t>
  </si>
  <si>
    <t>INV013</t>
  </si>
  <si>
    <t>INV007</t>
  </si>
  <si>
    <t>INV004</t>
  </si>
  <si>
    <t>INV016</t>
  </si>
  <si>
    <t>Sum of Overdue Amount</t>
  </si>
  <si>
    <t>Grand Total</t>
  </si>
  <si>
    <t>Jun</t>
  </si>
  <si>
    <t>Jul</t>
  </si>
  <si>
    <t>Aug</t>
  </si>
  <si>
    <t>Summary</t>
  </si>
  <si>
    <t>Month</t>
  </si>
  <si>
    <t>Customer Type</t>
  </si>
  <si>
    <t xml:space="preserve">Total Amount </t>
  </si>
  <si>
    <t>Total Overdue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</si>
</sst>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dd/mm/yy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0" fontId="2" fillId="0" borderId="0" xfId="0" applyFont="1" applyAlignment="1">
      <alignment horizontal="center" vertical="center"/>
    </xf>
    <xf numFmtId="43" fontId="0" fillId="0" borderId="0" xfId="1" applyFont="1"/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169" formatCode="dd/mm/yyyy;@"/>
      <alignment horizontal="center" vertical="center" textRotation="0" wrapText="0" indent="0" justifyLastLine="0" shrinkToFit="0" readingOrder="0"/>
    </dxf>
    <dxf>
      <numFmt numFmtId="169" formatCode="dd/mm/yyyy;@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Collections Dashboard — Portfolio Project.xlsx]Customer Type Mix!PivotTable10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Type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'Customer Type Mix'!$B$3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AF-46F4-9040-54CB6B20A2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AF-46F4-9040-54CB6B20A252}"/>
              </c:ext>
            </c:extLst>
          </c:dPt>
          <c:cat>
            <c:strRef>
              <c:f>'Customer Type Mix'!$A$4:$A$6</c:f>
              <c:strCache>
                <c:ptCount val="2"/>
                <c:pt idx="0">
                  <c:v> Corporate </c:v>
                </c:pt>
                <c:pt idx="1">
                  <c:v> SME </c:v>
                </c:pt>
              </c:strCache>
            </c:strRef>
          </c:cat>
          <c:val>
            <c:numRef>
              <c:f>'Customer Type Mix'!$B$4:$B$6</c:f>
              <c:numCache>
                <c:formatCode>#,##0</c:formatCode>
                <c:ptCount val="2"/>
                <c:pt idx="0">
                  <c:v>150950</c:v>
                </c:pt>
                <c:pt idx="1">
                  <c:v>56950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AF-46F4-9040-54CB6B20A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Collections Dashboard — Portfolio Project.xlsx]Overdue by Region!PivotTable6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Overdue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'Overdue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'Overdue by Region'!$A$4:$A$8</c:f>
              <c:strCache>
                <c:ptCount val="4"/>
                <c:pt idx="0">
                  <c:v> East </c:v>
                </c:pt>
                <c:pt idx="1">
                  <c:v> North </c:v>
                </c:pt>
                <c:pt idx="2">
                  <c:v> South </c:v>
                </c:pt>
                <c:pt idx="3">
                  <c:v> West </c:v>
                </c:pt>
              </c:strCache>
            </c:strRef>
          </c:cat>
          <c:val>
            <c:numRef>
              <c:f>'Overdue by Region'!$B$4:$B$8</c:f>
              <c:numCache>
                <c:formatCode>_(* #,##0.00_);_(* \(#,##0.00\);_(* "-"??_);_(@_)</c:formatCode>
                <c:ptCount val="4"/>
                <c:pt idx="0">
                  <c:v>19600</c:v>
                </c:pt>
                <c:pt idx="1">
                  <c:v>46200</c:v>
                </c:pt>
                <c:pt idx="2">
                  <c:v>39350</c:v>
                </c:pt>
                <c:pt idx="3">
                  <c:v>44350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F-4702-BE5E-C5F1F45CF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709407"/>
        <c:axId val="1813713247"/>
      </c:barChart>
      <c:catAx>
        <c:axId val="181370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713247"/>
        <c:crosses val="autoZero"/>
        <c:auto val="1"/>
        <c:lblAlgn val="ctr"/>
        <c:lblOffset val="100"/>
        <c:noMultiLvlLbl val="0"/>
      </c:catAx>
      <c:valAx>
        <c:axId val="181371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70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Collections Dashboard — Portfolio Project.xlsx]Paid vs Unpaid Trend!PivotTable8</c:name>
    <c:fmtId val="3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'Paid vs Unpaid Trend'!$B$3:$B$4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'Paid vs Unpaid Trend'!$A$5:$A$8</c:f>
              <c:strCache>
                <c:ptCount val="3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</c:strCache>
            </c:strRef>
          </c:cat>
          <c:val>
            <c:numRef>
              <c:f>'Paid vs Unpaid Trend'!$B$5:$B$8</c:f>
              <c:numCache>
                <c:formatCode>#,##0</c:formatCode>
                <c:ptCount val="3"/>
                <c:pt idx="1">
                  <c:v>102950</c:v>
                </c:pt>
                <c:pt idx="2">
                  <c:v>46550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9E-4166-99A3-ECFBFBD05723}"/>
            </c:ext>
          </c:extLst>
        </c:ser>
        <c:ser>
          <c:idx val="1"/>
          <c:order val="1"/>
          <c:tx>
            <c:strRef>
              <c:f>'Paid vs Unpaid Trend'!$C$3:$C$4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'Paid vs Unpaid Trend'!$A$5:$A$8</c:f>
              <c:strCache>
                <c:ptCount val="3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</c:strCache>
            </c:strRef>
          </c:cat>
          <c:val>
            <c:numRef>
              <c:f>'Paid vs Unpaid Trend'!$C$5:$C$8</c:f>
              <c:numCache>
                <c:formatCode>#,##0</c:formatCode>
                <c:ptCount val="3"/>
                <c:pt idx="0">
                  <c:v>58400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9E-4166-99A3-ECFBFBD05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437583"/>
        <c:axId val="1788189871"/>
      </c:lineChart>
      <c:catAx>
        <c:axId val="171443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189871"/>
        <c:crosses val="autoZero"/>
        <c:auto val="1"/>
        <c:lblAlgn val="ctr"/>
        <c:lblOffset val="100"/>
        <c:noMultiLvlLbl val="0"/>
      </c:catAx>
      <c:valAx>
        <c:axId val="178818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43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Collections Dashboard — Portfolio Project.xlsx]Top 10!PivotTable13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10'!$A$4:$A$14</c:f>
              <c:strCache>
                <c:ptCount val="10"/>
                <c:pt idx="0">
                  <c:v>Alpha Ltd </c:v>
                </c:pt>
                <c:pt idx="1">
                  <c:v>Beta Ltd </c:v>
                </c:pt>
                <c:pt idx="2">
                  <c:v>Epsilon Ltd </c:v>
                </c:pt>
                <c:pt idx="3">
                  <c:v>Kappa Ltd </c:v>
                </c:pt>
                <c:pt idx="4">
                  <c:v>Lambda Ltd </c:v>
                </c:pt>
                <c:pt idx="5">
                  <c:v>Nu Ltd </c:v>
                </c:pt>
                <c:pt idx="6">
                  <c:v>Pi Ltd </c:v>
                </c:pt>
                <c:pt idx="7">
                  <c:v>Theta Ltd </c:v>
                </c:pt>
                <c:pt idx="8">
                  <c:v>Upsilon Ltd </c:v>
                </c:pt>
                <c:pt idx="9">
                  <c:v>Xi Ltd </c:v>
                </c:pt>
              </c:strCache>
            </c:strRef>
          </c:cat>
          <c:val>
            <c:numRef>
              <c:f>'Top 10'!$B$4:$B$14</c:f>
              <c:numCache>
                <c:formatCode>_(* #,##0.00_);_(* \(#,##0.00\);_(* "-"??_);_(@_)</c:formatCode>
                <c:ptCount val="10"/>
                <c:pt idx="0">
                  <c:v>12500</c:v>
                </c:pt>
                <c:pt idx="1">
                  <c:v>8900</c:v>
                </c:pt>
                <c:pt idx="2">
                  <c:v>22000</c:v>
                </c:pt>
                <c:pt idx="3">
                  <c:v>9450</c:v>
                </c:pt>
                <c:pt idx="4">
                  <c:v>11100</c:v>
                </c:pt>
                <c:pt idx="5">
                  <c:v>6500</c:v>
                </c:pt>
                <c:pt idx="6">
                  <c:v>13300</c:v>
                </c:pt>
                <c:pt idx="7">
                  <c:v>17000</c:v>
                </c:pt>
                <c:pt idx="8">
                  <c:v>8300</c:v>
                </c:pt>
                <c:pt idx="9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5-441D-97BE-A9306DEB2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73181199"/>
        <c:axId val="1773184559"/>
      </c:barChart>
      <c:catAx>
        <c:axId val="1773181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84559"/>
        <c:crosses val="autoZero"/>
        <c:auto val="1"/>
        <c:lblAlgn val="ctr"/>
        <c:lblOffset val="100"/>
        <c:noMultiLvlLbl val="0"/>
      </c:catAx>
      <c:valAx>
        <c:axId val="1773184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8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Collections Dashboard — Portfolio Project.xlsx]Paid vs Unpaid Trend!PivotTable8</c:name>
    <c:fmtId val="2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'Paid vs Unpaid Trend'!$B$3:$B$4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'Paid vs Unpaid Trend'!$A$5:$A$8</c:f>
              <c:strCache>
                <c:ptCount val="3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</c:strCache>
            </c:strRef>
          </c:cat>
          <c:val>
            <c:numRef>
              <c:f>'Paid vs Unpaid Trend'!$B$5:$B$8</c:f>
              <c:numCache>
                <c:formatCode>#,##0</c:formatCode>
                <c:ptCount val="3"/>
                <c:pt idx="1">
                  <c:v>102950</c:v>
                </c:pt>
                <c:pt idx="2">
                  <c:v>46550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1F-4351-9FBE-CA1632899C4C}"/>
            </c:ext>
          </c:extLst>
        </c:ser>
        <c:ser>
          <c:idx val="1"/>
          <c:order val="1"/>
          <c:tx>
            <c:strRef>
              <c:f>'Paid vs Unpaid Trend'!$C$3:$C$4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'Paid vs Unpaid Trend'!$A$5:$A$8</c:f>
              <c:strCache>
                <c:ptCount val="3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</c:strCache>
            </c:strRef>
          </c:cat>
          <c:val>
            <c:numRef>
              <c:f>'Paid vs Unpaid Trend'!$C$5:$C$8</c:f>
              <c:numCache>
                <c:formatCode>#,##0</c:formatCode>
                <c:ptCount val="3"/>
                <c:pt idx="0">
                  <c:v>58400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1F-4351-9FBE-CA1632899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437583"/>
        <c:axId val="1788189871"/>
      </c:lineChart>
      <c:catAx>
        <c:axId val="171443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189871"/>
        <c:crosses val="autoZero"/>
        <c:auto val="1"/>
        <c:lblAlgn val="ctr"/>
        <c:lblOffset val="100"/>
        <c:noMultiLvlLbl val="0"/>
      </c:catAx>
      <c:valAx>
        <c:axId val="178818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43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Collections Dashboard — Portfolio Project.xlsx]Overdue by Region!PivotTable6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'Overdue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'Overdue by Region'!$A$4:$A$8</c:f>
              <c:strCache>
                <c:ptCount val="4"/>
                <c:pt idx="0">
                  <c:v> East </c:v>
                </c:pt>
                <c:pt idx="1">
                  <c:v> North </c:v>
                </c:pt>
                <c:pt idx="2">
                  <c:v> South </c:v>
                </c:pt>
                <c:pt idx="3">
                  <c:v> West </c:v>
                </c:pt>
              </c:strCache>
            </c:strRef>
          </c:cat>
          <c:val>
            <c:numRef>
              <c:f>'Overdue by Region'!$B$4:$B$8</c:f>
              <c:numCache>
                <c:formatCode>_(* #,##0.00_);_(* \(#,##0.00\);_(* "-"??_);_(@_)</c:formatCode>
                <c:ptCount val="4"/>
                <c:pt idx="0">
                  <c:v>19600</c:v>
                </c:pt>
                <c:pt idx="1">
                  <c:v>46200</c:v>
                </c:pt>
                <c:pt idx="2">
                  <c:v>39350</c:v>
                </c:pt>
                <c:pt idx="3">
                  <c:v>44350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9-467A-B9DB-616FBAE78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709407"/>
        <c:axId val="1813713247"/>
      </c:barChart>
      <c:catAx>
        <c:axId val="181370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713247"/>
        <c:crosses val="autoZero"/>
        <c:auto val="1"/>
        <c:lblAlgn val="ctr"/>
        <c:lblOffset val="100"/>
        <c:noMultiLvlLbl val="0"/>
      </c:catAx>
      <c:valAx>
        <c:axId val="181371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70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Collections Dashboard — Portfolio Project.xlsx]Customer Type Mix!PivotTable10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'Customer Type Mix'!$B$3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'Customer Type Mix'!$A$4:$A$6</c:f>
              <c:strCache>
                <c:ptCount val="2"/>
                <c:pt idx="0">
                  <c:v> Corporate </c:v>
                </c:pt>
                <c:pt idx="1">
                  <c:v> SME </c:v>
                </c:pt>
              </c:strCache>
            </c:strRef>
          </c:cat>
          <c:val>
            <c:numRef>
              <c:f>'Customer Type Mix'!$B$4:$B$6</c:f>
              <c:numCache>
                <c:formatCode>#,##0</c:formatCode>
                <c:ptCount val="2"/>
                <c:pt idx="0">
                  <c:v>150950</c:v>
                </c:pt>
                <c:pt idx="1">
                  <c:v>56950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4-4C44-88E3-E1C89C5FC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Collections Dashboard — Portfolio Project.xlsx]Top 10!PivotTable13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10'!$A$4:$A$14</c:f>
              <c:strCache>
                <c:ptCount val="10"/>
                <c:pt idx="0">
                  <c:v>Alpha Ltd </c:v>
                </c:pt>
                <c:pt idx="1">
                  <c:v>Beta Ltd </c:v>
                </c:pt>
                <c:pt idx="2">
                  <c:v>Epsilon Ltd </c:v>
                </c:pt>
                <c:pt idx="3">
                  <c:v>Kappa Ltd </c:v>
                </c:pt>
                <c:pt idx="4">
                  <c:v>Lambda Ltd </c:v>
                </c:pt>
                <c:pt idx="5">
                  <c:v>Nu Ltd </c:v>
                </c:pt>
                <c:pt idx="6">
                  <c:v>Pi Ltd </c:v>
                </c:pt>
                <c:pt idx="7">
                  <c:v>Theta Ltd </c:v>
                </c:pt>
                <c:pt idx="8">
                  <c:v>Upsilon Ltd </c:v>
                </c:pt>
                <c:pt idx="9">
                  <c:v>Xi Ltd </c:v>
                </c:pt>
              </c:strCache>
            </c:strRef>
          </c:cat>
          <c:val>
            <c:numRef>
              <c:f>'Top 10'!$B$4:$B$14</c:f>
              <c:numCache>
                <c:formatCode>_(* #,##0.00_);_(* \(#,##0.00\);_(* "-"??_);_(@_)</c:formatCode>
                <c:ptCount val="10"/>
                <c:pt idx="0">
                  <c:v>12500</c:v>
                </c:pt>
                <c:pt idx="1">
                  <c:v>8900</c:v>
                </c:pt>
                <c:pt idx="2">
                  <c:v>22000</c:v>
                </c:pt>
                <c:pt idx="3">
                  <c:v>9450</c:v>
                </c:pt>
                <c:pt idx="4">
                  <c:v>11100</c:v>
                </c:pt>
                <c:pt idx="5">
                  <c:v>6500</c:v>
                </c:pt>
                <c:pt idx="6">
                  <c:v>13300</c:v>
                </c:pt>
                <c:pt idx="7">
                  <c:v>17000</c:v>
                </c:pt>
                <c:pt idx="8">
                  <c:v>8300</c:v>
                </c:pt>
                <c:pt idx="9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91-4229-B113-F45272F3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3181199"/>
        <c:axId val="1773184559"/>
      </c:barChart>
      <c:catAx>
        <c:axId val="177318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84559"/>
        <c:crosses val="autoZero"/>
        <c:auto val="1"/>
        <c:lblAlgn val="ctr"/>
        <c:lblOffset val="100"/>
        <c:noMultiLvlLbl val="0"/>
      </c:catAx>
      <c:valAx>
        <c:axId val="177318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8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0</xdr:row>
      <xdr:rowOff>0</xdr:rowOff>
    </xdr:from>
    <xdr:to>
      <xdr:col>8</xdr:col>
      <xdr:colOff>114300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95D69B-4E95-417C-9A8F-EF3B977D0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123826</xdr:colOff>
      <xdr:row>0</xdr:row>
      <xdr:rowOff>0</xdr:rowOff>
    </xdr:from>
    <xdr:to>
      <xdr:col>17</xdr:col>
      <xdr:colOff>209550</xdr:colOff>
      <xdr:row>13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BFF87A-5803-4BEB-9692-3BADC67C6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352424</xdr:colOff>
      <xdr:row>13</xdr:row>
      <xdr:rowOff>76199</xdr:rowOff>
    </xdr:from>
    <xdr:to>
      <xdr:col>8</xdr:col>
      <xdr:colOff>114299</xdr:colOff>
      <xdr:row>28</xdr:row>
      <xdr:rowOff>66674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7C178B-3A76-4D61-9423-1231E4BF4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104776</xdr:colOff>
      <xdr:row>13</xdr:row>
      <xdr:rowOff>57151</xdr:rowOff>
    </xdr:from>
    <xdr:to>
      <xdr:col>17</xdr:col>
      <xdr:colOff>209550</xdr:colOff>
      <xdr:row>28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1CC997-5AC1-429B-8869-4B1F8B46D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1</xdr:row>
      <xdr:rowOff>80962</xdr:rowOff>
    </xdr:from>
    <xdr:to>
      <xdr:col>12</xdr:col>
      <xdr:colOff>9525</xdr:colOff>
      <xdr:row>15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216B8A-85D3-6253-8158-013B01D36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47625</xdr:rowOff>
    </xdr:from>
    <xdr:to>
      <xdr:col>10</xdr:col>
      <xdr:colOff>352426</xdr:colOff>
      <xdr:row>24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4FBA60-FFCD-0C6E-A87D-D4BE2B781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1</xdr:row>
      <xdr:rowOff>128587</xdr:rowOff>
    </xdr:from>
    <xdr:to>
      <xdr:col>9</xdr:col>
      <xdr:colOff>304800</xdr:colOff>
      <xdr:row>16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5AE3FB-0F0C-5471-5B3C-39874BFF7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</xdr:colOff>
      <xdr:row>1</xdr:row>
      <xdr:rowOff>176212</xdr:rowOff>
    </xdr:from>
    <xdr:to>
      <xdr:col>11</xdr:col>
      <xdr:colOff>171450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79869D-412E-DB87-A5D1-363B1EE6A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mi Ntsinde" refreshedDate="45988.585900578706" createdVersion="8" refreshedVersion="8" minRefreshableVersion="3" recordCount="20" xr:uid="{91327221-601C-4552-9F6B-165BC786EA3A}">
  <cacheSource type="worksheet">
    <worksheetSource name="Table1"/>
  </cacheSource>
  <cacheFields count="11">
    <cacheField name="Customer Name " numFmtId="0">
      <sharedItems count="20">
        <s v="Sigma Ltd "/>
        <s v="Mu Ltd "/>
        <s v="Iota Ltd "/>
        <s v="Zeta Ltd "/>
        <s v="Omicron Ltd "/>
        <s v="Gamma Ltd "/>
        <s v="Epsilon Ltd "/>
        <s v="Xi Ltd "/>
        <s v="Kappa Ltd "/>
        <s v="Beta Ltd "/>
        <s v="Lambda Ltd "/>
        <s v="Rho Ltd "/>
        <s v="Theta Ltd "/>
        <s v="Upsilon Ltd "/>
        <s v="Alpha Ltd "/>
        <s v="Tau Ltd "/>
        <s v="Nu Ltd "/>
        <s v="Eta Ltd "/>
        <s v="Delta Ltd "/>
        <s v="Pi Ltd "/>
      </sharedItems>
    </cacheField>
    <cacheField name=" Region " numFmtId="0">
      <sharedItems count="4">
        <s v=" South "/>
        <s v=" West "/>
        <s v=" North "/>
        <s v=" East "/>
      </sharedItems>
    </cacheField>
    <cacheField name=" Customer Type " numFmtId="0">
      <sharedItems/>
    </cacheField>
    <cacheField name="InvoiceNo" numFmtId="0">
      <sharedItems/>
    </cacheField>
    <cacheField name=" Invoice Date " numFmtId="169">
      <sharedItems containsSemiMixedTypes="0" containsNonDate="0" containsDate="1" containsString="0" minDate="2025-06-10T00:00:00" maxDate="2025-08-15T00:00:00"/>
    </cacheField>
    <cacheField name=" Due Date " numFmtId="169">
      <sharedItems containsSemiMixedTypes="0" containsNonDate="0" containsDate="1" containsString="0" minDate="2025-07-10T00:00:00" maxDate="2025-09-15T00:00:00"/>
    </cacheField>
    <cacheField name=" Amount " numFmtId="3">
      <sharedItems containsSemiMixedTypes="0" containsString="0" containsNumber="1" containsInteger="1" minValue="3250" maxValue="22000"/>
    </cacheField>
    <cacheField name=" Paid" numFmtId="0">
      <sharedItems/>
    </cacheField>
    <cacheField name="Days Overdue" numFmtId="3">
      <sharedItems containsSemiMixedTypes="0" containsString="0" containsNumber="1" containsInteger="1" minValue="74" maxValue="140"/>
    </cacheField>
    <cacheField name="Overdue Amount" numFmtId="43">
      <sharedItems containsSemiMixedTypes="0" containsString="0" containsNumber="1" containsInteger="1" minValue="0" maxValue="22000" count="15">
        <n v="0"/>
        <n v="22000"/>
        <n v="21000"/>
        <n v="9450"/>
        <n v="8900"/>
        <n v="11100"/>
        <n v="5200"/>
        <n v="17000"/>
        <n v="8300"/>
        <n v="12500"/>
        <n v="3900"/>
        <n v="6500"/>
        <n v="4600"/>
        <n v="5750"/>
        <n v="13300"/>
      </sharedItems>
    </cacheField>
    <cacheField name="Age Bucke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mi Ntsinde" refreshedDate="45988.58924872685" createdVersion="8" refreshedVersion="8" minRefreshableVersion="3" recordCount="20" xr:uid="{646CC89A-4BB6-4200-8841-FFF7FFDCE172}">
  <cacheSource type="worksheet">
    <worksheetSource name="Table1"/>
  </cacheSource>
  <cacheFields count="13">
    <cacheField name="Customer Name " numFmtId="0">
      <sharedItems count="20">
        <s v="Sigma Ltd "/>
        <s v="Mu Ltd "/>
        <s v="Iota Ltd "/>
        <s v="Zeta Ltd "/>
        <s v="Omicron Ltd "/>
        <s v="Gamma Ltd "/>
        <s v="Epsilon Ltd "/>
        <s v="Xi Ltd "/>
        <s v="Kappa Ltd "/>
        <s v="Beta Ltd "/>
        <s v="Lambda Ltd "/>
        <s v="Rho Ltd "/>
        <s v="Theta Ltd "/>
        <s v="Upsilon Ltd "/>
        <s v="Alpha Ltd "/>
        <s v="Tau Ltd "/>
        <s v="Nu Ltd "/>
        <s v="Eta Ltd "/>
        <s v="Delta Ltd "/>
        <s v="Pi Ltd "/>
      </sharedItems>
    </cacheField>
    <cacheField name=" Region " numFmtId="0">
      <sharedItems count="4">
        <s v=" South "/>
        <s v=" West "/>
        <s v=" North "/>
        <s v=" East "/>
      </sharedItems>
    </cacheField>
    <cacheField name=" Customer Type " numFmtId="0">
      <sharedItems/>
    </cacheField>
    <cacheField name="InvoiceNo" numFmtId="0">
      <sharedItems/>
    </cacheField>
    <cacheField name=" Invoice Date " numFmtId="169">
      <sharedItems containsSemiMixedTypes="0" containsNonDate="0" containsDate="1" containsString="0" minDate="2025-06-10T00:00:00" maxDate="2025-08-15T00:00:00" count="19">
        <d v="2025-06-10T00:00:00"/>
        <d v="2025-06-12T00:00:00"/>
        <d v="2025-06-15T00:00:00"/>
        <d v="2025-06-20T00:00:00"/>
        <d v="2025-06-28T00:00:00"/>
        <d v="2025-06-30T00:00:00"/>
        <d v="2025-07-01T00:00:00"/>
        <d v="2025-07-05T00:00:00"/>
        <d v="2025-07-10T00:00:00"/>
        <d v="2025-07-15T00:00:00"/>
        <d v="2025-07-18T00:00:00"/>
        <d v="2025-07-22T00:00:00"/>
        <d v="2025-07-28T00:00:00"/>
        <d v="2025-07-30T00:00:00"/>
        <d v="2025-08-01T00:00:00"/>
        <d v="2025-08-03T00:00:00"/>
        <d v="2025-08-05T00:00:00"/>
        <d v="2025-08-12T00:00:00"/>
        <d v="2025-08-14T00:00:00"/>
      </sharedItems>
      <fieldGroup par="12"/>
    </cacheField>
    <cacheField name=" Due Date " numFmtId="169">
      <sharedItems containsSemiMixedTypes="0" containsNonDate="0" containsDate="1" containsString="0" minDate="2025-07-10T00:00:00" maxDate="2025-09-15T00:00:00"/>
    </cacheField>
    <cacheField name=" Amount " numFmtId="3">
      <sharedItems containsSemiMixedTypes="0" containsString="0" containsNumber="1" containsInteger="1" minValue="3250" maxValue="22000"/>
    </cacheField>
    <cacheField name=" Paid" numFmtId="0">
      <sharedItems count="2">
        <s v="Y"/>
        <s v="N"/>
      </sharedItems>
    </cacheField>
    <cacheField name="Days Overdue" numFmtId="3">
      <sharedItems containsSemiMixedTypes="0" containsString="0" containsNumber="1" containsInteger="1" minValue="74" maxValue="140"/>
    </cacheField>
    <cacheField name="Overdue Amount" numFmtId="43">
      <sharedItems containsSemiMixedTypes="0" containsString="0" containsNumber="1" containsInteger="1" minValue="0" maxValue="22000"/>
    </cacheField>
    <cacheField name="Age Buckets" numFmtId="0">
      <sharedItems/>
    </cacheField>
    <cacheField name="Days ( Invoice Date )" numFmtId="0" databaseField="0">
      <fieldGroup base="4">
        <rangePr groupBy="days" startDate="2025-06-10T00:00:00" endDate="2025-08-15T00:00:00"/>
        <groupItems count="368">
          <s v="&lt;10/06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08/2025"/>
        </groupItems>
      </fieldGroup>
    </cacheField>
    <cacheField name="Months ( Invoice Date )" numFmtId="0" databaseField="0">
      <fieldGroup base="4">
        <rangePr groupBy="months" startDate="2025-06-10T00:00:00" endDate="2025-08-15T00:00:00"/>
        <groupItems count="14">
          <s v="&lt;10/06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/0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mi Ntsinde" refreshedDate="45988.591812268518" createdVersion="8" refreshedVersion="8" minRefreshableVersion="3" recordCount="20" xr:uid="{76666C4E-5F91-49F2-B152-BA0412F883A4}">
  <cacheSource type="worksheet">
    <worksheetSource name="Table1"/>
  </cacheSource>
  <cacheFields count="11">
    <cacheField name="Customer Name " numFmtId="0">
      <sharedItems/>
    </cacheField>
    <cacheField name=" Region " numFmtId="0">
      <sharedItems count="4">
        <s v=" South "/>
        <s v=" West "/>
        <s v=" North "/>
        <s v=" East "/>
      </sharedItems>
    </cacheField>
    <cacheField name=" Customer Type " numFmtId="0">
      <sharedItems count="2">
        <s v=" Corporate "/>
        <s v=" SME "/>
      </sharedItems>
    </cacheField>
    <cacheField name="InvoiceNo" numFmtId="0">
      <sharedItems/>
    </cacheField>
    <cacheField name=" Invoice Date " numFmtId="169">
      <sharedItems containsSemiMixedTypes="0" containsNonDate="0" containsDate="1" containsString="0" minDate="2025-06-10T00:00:00" maxDate="2025-08-15T00:00:00"/>
    </cacheField>
    <cacheField name=" Due Date " numFmtId="169">
      <sharedItems containsSemiMixedTypes="0" containsNonDate="0" containsDate="1" containsString="0" minDate="2025-07-10T00:00:00" maxDate="2025-09-15T00:00:00"/>
    </cacheField>
    <cacheField name=" Amount " numFmtId="3">
      <sharedItems containsSemiMixedTypes="0" containsString="0" containsNumber="1" containsInteger="1" minValue="3250" maxValue="22000"/>
    </cacheField>
    <cacheField name=" Paid" numFmtId="0">
      <sharedItems/>
    </cacheField>
    <cacheField name="Days Overdue" numFmtId="3">
      <sharedItems containsSemiMixedTypes="0" containsString="0" containsNumber="1" containsInteger="1" minValue="74" maxValue="140"/>
    </cacheField>
    <cacheField name="Overdue Amount" numFmtId="43">
      <sharedItems containsSemiMixedTypes="0" containsString="0" containsNumber="1" containsInteger="1" minValue="0" maxValue="22000"/>
    </cacheField>
    <cacheField name="Age Bucke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s v=" Corporate "/>
    <s v="INV018"/>
    <d v="2025-06-10T00:00:00"/>
    <d v="2025-07-10T00:00:00"/>
    <n v="10500"/>
    <s v="Y"/>
    <n v="140"/>
    <x v="0"/>
    <s v="90 days +"/>
  </r>
  <r>
    <x v="1"/>
    <x v="1"/>
    <s v=" Corporate "/>
    <s v="INV012"/>
    <d v="2025-06-12T00:00:00"/>
    <d v="2025-07-12T00:00:00"/>
    <n v="14900"/>
    <s v="Y"/>
    <n v="138"/>
    <x v="0"/>
    <s v="90 days +"/>
  </r>
  <r>
    <x v="2"/>
    <x v="2"/>
    <s v=" SME "/>
    <s v="INV009"/>
    <d v="2025-06-15T00:00:00"/>
    <d v="2025-07-15T00:00:00"/>
    <n v="3250"/>
    <s v="Y"/>
    <n v="135"/>
    <x v="0"/>
    <s v="90 days +"/>
  </r>
  <r>
    <x v="3"/>
    <x v="0"/>
    <s v=" Corporate "/>
    <s v="INV006"/>
    <d v="2025-06-20T00:00:00"/>
    <d v="2025-07-20T00:00:00"/>
    <n v="6800"/>
    <s v="Y"/>
    <n v="130"/>
    <x v="0"/>
    <s v="90 days +"/>
  </r>
  <r>
    <x v="4"/>
    <x v="3"/>
    <s v=" SME "/>
    <s v="INV015"/>
    <d v="2025-06-28T00:00:00"/>
    <d v="2025-07-28T00:00:00"/>
    <n v="7750"/>
    <s v="Y"/>
    <n v="122"/>
    <x v="0"/>
    <s v="90 days +"/>
  </r>
  <r>
    <x v="5"/>
    <x v="3"/>
    <s v=" Corporate "/>
    <s v="INV003"/>
    <d v="2025-06-30T00:00:00"/>
    <d v="2025-07-30T00:00:00"/>
    <n v="15200"/>
    <s v="Y"/>
    <n v="120"/>
    <x v="0"/>
    <s v="90 days +"/>
  </r>
  <r>
    <x v="6"/>
    <x v="2"/>
    <s v=" Corporate "/>
    <s v="INV005"/>
    <d v="2025-07-01T00:00:00"/>
    <d v="2025-08-01T00:00:00"/>
    <n v="22000"/>
    <s v="N"/>
    <n v="118"/>
    <x v="1"/>
    <s v="90 days +"/>
  </r>
  <r>
    <x v="7"/>
    <x v="0"/>
    <s v=" Corporate "/>
    <s v="INV014"/>
    <d v="2025-07-05T00:00:00"/>
    <d v="2025-08-05T00:00:00"/>
    <n v="21000"/>
    <s v="N"/>
    <n v="114"/>
    <x v="2"/>
    <s v="90 days +"/>
  </r>
  <r>
    <x v="8"/>
    <x v="0"/>
    <s v=" Corporate "/>
    <s v="INV010"/>
    <d v="2025-07-10T00:00:00"/>
    <d v="2025-08-10T00:00:00"/>
    <n v="9450"/>
    <s v="N"/>
    <n v="109"/>
    <x v="3"/>
    <s v="90 days +"/>
  </r>
  <r>
    <x v="9"/>
    <x v="0"/>
    <s v=" SME "/>
    <s v="INV002"/>
    <d v="2025-07-15T00:00:00"/>
    <d v="2025-08-15T00:00:00"/>
    <n v="8900"/>
    <s v="N"/>
    <n v="104"/>
    <x v="4"/>
    <s v="90 days +"/>
  </r>
  <r>
    <x v="10"/>
    <x v="3"/>
    <s v=" SME "/>
    <s v="INV011"/>
    <d v="2025-07-18T00:00:00"/>
    <d v="2025-08-18T00:00:00"/>
    <n v="11100"/>
    <s v="N"/>
    <n v="101"/>
    <x v="5"/>
    <s v="90 days +"/>
  </r>
  <r>
    <x v="11"/>
    <x v="2"/>
    <s v=" SME "/>
    <s v="INV017"/>
    <d v="2025-07-22T00:00:00"/>
    <d v="2025-08-22T00:00:00"/>
    <n v="5200"/>
    <s v="N"/>
    <n v="97"/>
    <x v="6"/>
    <s v="90 days +"/>
  </r>
  <r>
    <x v="12"/>
    <x v="1"/>
    <s v=" Corporate "/>
    <s v="INV008"/>
    <d v="2025-07-28T00:00:00"/>
    <d v="2025-08-28T00:00:00"/>
    <n v="17000"/>
    <s v="N"/>
    <n v="91"/>
    <x v="7"/>
    <s v="90 days +"/>
  </r>
  <r>
    <x v="13"/>
    <x v="1"/>
    <s v=" Corporate "/>
    <s v="INV020"/>
    <d v="2025-07-30T00:00:00"/>
    <d v="2025-08-30T00:00:00"/>
    <n v="8300"/>
    <s v="N"/>
    <n v="89"/>
    <x v="8"/>
    <s v="61-90"/>
  </r>
  <r>
    <x v="14"/>
    <x v="2"/>
    <s v=" Corporate "/>
    <s v="INV001"/>
    <d v="2025-08-01T00:00:00"/>
    <d v="2025-09-01T00:00:00"/>
    <n v="12500"/>
    <s v="N"/>
    <n v="87"/>
    <x v="9"/>
    <s v="61-90"/>
  </r>
  <r>
    <x v="15"/>
    <x v="3"/>
    <s v=" SME "/>
    <s v="INV019"/>
    <d v="2025-08-01T00:00:00"/>
    <d v="2025-09-01T00:00:00"/>
    <n v="3900"/>
    <s v="N"/>
    <n v="87"/>
    <x v="10"/>
    <s v="61-90"/>
  </r>
  <r>
    <x v="16"/>
    <x v="2"/>
    <s v=" SME "/>
    <s v="INV013"/>
    <d v="2025-08-03T00:00:00"/>
    <d v="2025-09-03T00:00:00"/>
    <n v="6500"/>
    <s v="N"/>
    <n v="85"/>
    <x v="11"/>
    <s v="61-90"/>
  </r>
  <r>
    <x v="17"/>
    <x v="3"/>
    <s v=" SME "/>
    <s v="INV007"/>
    <d v="2025-08-05T00:00:00"/>
    <d v="2025-09-05T00:00:00"/>
    <n v="4600"/>
    <s v="N"/>
    <n v="83"/>
    <x v="12"/>
    <s v="61-90"/>
  </r>
  <r>
    <x v="18"/>
    <x v="1"/>
    <s v=" SME "/>
    <s v="INV004"/>
    <d v="2025-08-12T00:00:00"/>
    <d v="2025-09-12T00:00:00"/>
    <n v="5750"/>
    <s v="N"/>
    <n v="76"/>
    <x v="13"/>
    <s v="61-90"/>
  </r>
  <r>
    <x v="19"/>
    <x v="1"/>
    <s v=" Corporate "/>
    <s v="INV016"/>
    <d v="2025-08-14T00:00:00"/>
    <d v="2025-09-14T00:00:00"/>
    <n v="13300"/>
    <s v="N"/>
    <n v="74"/>
    <x v="14"/>
    <s v="61-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s v=" Corporate "/>
    <s v="INV018"/>
    <x v="0"/>
    <d v="2025-07-10T00:00:00"/>
    <n v="10500"/>
    <x v="0"/>
    <n v="140"/>
    <n v="0"/>
    <s v="90 days +"/>
  </r>
  <r>
    <x v="1"/>
    <x v="1"/>
    <s v=" Corporate "/>
    <s v="INV012"/>
    <x v="1"/>
    <d v="2025-07-12T00:00:00"/>
    <n v="14900"/>
    <x v="0"/>
    <n v="138"/>
    <n v="0"/>
    <s v="90 days +"/>
  </r>
  <r>
    <x v="2"/>
    <x v="2"/>
    <s v=" SME "/>
    <s v="INV009"/>
    <x v="2"/>
    <d v="2025-07-15T00:00:00"/>
    <n v="3250"/>
    <x v="0"/>
    <n v="135"/>
    <n v="0"/>
    <s v="90 days +"/>
  </r>
  <r>
    <x v="3"/>
    <x v="0"/>
    <s v=" Corporate "/>
    <s v="INV006"/>
    <x v="3"/>
    <d v="2025-07-20T00:00:00"/>
    <n v="6800"/>
    <x v="0"/>
    <n v="130"/>
    <n v="0"/>
    <s v="90 days +"/>
  </r>
  <r>
    <x v="4"/>
    <x v="3"/>
    <s v=" SME "/>
    <s v="INV015"/>
    <x v="4"/>
    <d v="2025-07-28T00:00:00"/>
    <n v="7750"/>
    <x v="0"/>
    <n v="122"/>
    <n v="0"/>
    <s v="90 days +"/>
  </r>
  <r>
    <x v="5"/>
    <x v="3"/>
    <s v=" Corporate "/>
    <s v="INV003"/>
    <x v="5"/>
    <d v="2025-07-30T00:00:00"/>
    <n v="15200"/>
    <x v="0"/>
    <n v="120"/>
    <n v="0"/>
    <s v="90 days +"/>
  </r>
  <r>
    <x v="6"/>
    <x v="2"/>
    <s v=" Corporate "/>
    <s v="INV005"/>
    <x v="6"/>
    <d v="2025-08-01T00:00:00"/>
    <n v="22000"/>
    <x v="1"/>
    <n v="118"/>
    <n v="22000"/>
    <s v="90 days +"/>
  </r>
  <r>
    <x v="7"/>
    <x v="0"/>
    <s v=" Corporate "/>
    <s v="INV014"/>
    <x v="7"/>
    <d v="2025-08-05T00:00:00"/>
    <n v="21000"/>
    <x v="1"/>
    <n v="114"/>
    <n v="21000"/>
    <s v="90 days +"/>
  </r>
  <r>
    <x v="8"/>
    <x v="0"/>
    <s v=" Corporate "/>
    <s v="INV010"/>
    <x v="8"/>
    <d v="2025-08-10T00:00:00"/>
    <n v="9450"/>
    <x v="1"/>
    <n v="109"/>
    <n v="9450"/>
    <s v="90 days +"/>
  </r>
  <r>
    <x v="9"/>
    <x v="0"/>
    <s v=" SME "/>
    <s v="INV002"/>
    <x v="9"/>
    <d v="2025-08-15T00:00:00"/>
    <n v="8900"/>
    <x v="1"/>
    <n v="104"/>
    <n v="8900"/>
    <s v="90 days +"/>
  </r>
  <r>
    <x v="10"/>
    <x v="3"/>
    <s v=" SME "/>
    <s v="INV011"/>
    <x v="10"/>
    <d v="2025-08-18T00:00:00"/>
    <n v="11100"/>
    <x v="1"/>
    <n v="101"/>
    <n v="11100"/>
    <s v="90 days +"/>
  </r>
  <r>
    <x v="11"/>
    <x v="2"/>
    <s v=" SME "/>
    <s v="INV017"/>
    <x v="11"/>
    <d v="2025-08-22T00:00:00"/>
    <n v="5200"/>
    <x v="1"/>
    <n v="97"/>
    <n v="5200"/>
    <s v="90 days +"/>
  </r>
  <r>
    <x v="12"/>
    <x v="1"/>
    <s v=" Corporate "/>
    <s v="INV008"/>
    <x v="12"/>
    <d v="2025-08-28T00:00:00"/>
    <n v="17000"/>
    <x v="1"/>
    <n v="91"/>
    <n v="17000"/>
    <s v="90 days +"/>
  </r>
  <r>
    <x v="13"/>
    <x v="1"/>
    <s v=" Corporate "/>
    <s v="INV020"/>
    <x v="13"/>
    <d v="2025-08-30T00:00:00"/>
    <n v="8300"/>
    <x v="1"/>
    <n v="89"/>
    <n v="8300"/>
    <s v="61-90"/>
  </r>
  <r>
    <x v="14"/>
    <x v="2"/>
    <s v=" Corporate "/>
    <s v="INV001"/>
    <x v="14"/>
    <d v="2025-09-01T00:00:00"/>
    <n v="12500"/>
    <x v="1"/>
    <n v="87"/>
    <n v="12500"/>
    <s v="61-90"/>
  </r>
  <r>
    <x v="15"/>
    <x v="3"/>
    <s v=" SME "/>
    <s v="INV019"/>
    <x v="14"/>
    <d v="2025-09-01T00:00:00"/>
    <n v="3900"/>
    <x v="1"/>
    <n v="87"/>
    <n v="3900"/>
    <s v="61-90"/>
  </r>
  <r>
    <x v="16"/>
    <x v="2"/>
    <s v=" SME "/>
    <s v="INV013"/>
    <x v="15"/>
    <d v="2025-09-03T00:00:00"/>
    <n v="6500"/>
    <x v="1"/>
    <n v="85"/>
    <n v="6500"/>
    <s v="61-90"/>
  </r>
  <r>
    <x v="17"/>
    <x v="3"/>
    <s v=" SME "/>
    <s v="INV007"/>
    <x v="16"/>
    <d v="2025-09-05T00:00:00"/>
    <n v="4600"/>
    <x v="1"/>
    <n v="83"/>
    <n v="4600"/>
    <s v="61-90"/>
  </r>
  <r>
    <x v="18"/>
    <x v="1"/>
    <s v=" SME "/>
    <s v="INV004"/>
    <x v="17"/>
    <d v="2025-09-12T00:00:00"/>
    <n v="5750"/>
    <x v="1"/>
    <n v="76"/>
    <n v="5750"/>
    <s v="61-90"/>
  </r>
  <r>
    <x v="19"/>
    <x v="1"/>
    <s v=" Corporate "/>
    <s v="INV016"/>
    <x v="18"/>
    <d v="2025-09-14T00:00:00"/>
    <n v="13300"/>
    <x v="1"/>
    <n v="74"/>
    <n v="13300"/>
    <s v="61-9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Sigma Ltd "/>
    <x v="0"/>
    <x v="0"/>
    <s v="INV018"/>
    <d v="2025-06-10T00:00:00"/>
    <d v="2025-07-10T00:00:00"/>
    <n v="10500"/>
    <s v="Y"/>
    <n v="140"/>
    <n v="0"/>
    <s v="90 days +"/>
  </r>
  <r>
    <s v="Mu Ltd "/>
    <x v="1"/>
    <x v="0"/>
    <s v="INV012"/>
    <d v="2025-06-12T00:00:00"/>
    <d v="2025-07-12T00:00:00"/>
    <n v="14900"/>
    <s v="Y"/>
    <n v="138"/>
    <n v="0"/>
    <s v="90 days +"/>
  </r>
  <r>
    <s v="Iota Ltd "/>
    <x v="2"/>
    <x v="1"/>
    <s v="INV009"/>
    <d v="2025-06-15T00:00:00"/>
    <d v="2025-07-15T00:00:00"/>
    <n v="3250"/>
    <s v="Y"/>
    <n v="135"/>
    <n v="0"/>
    <s v="90 days +"/>
  </r>
  <r>
    <s v="Zeta Ltd "/>
    <x v="0"/>
    <x v="0"/>
    <s v="INV006"/>
    <d v="2025-06-20T00:00:00"/>
    <d v="2025-07-20T00:00:00"/>
    <n v="6800"/>
    <s v="Y"/>
    <n v="130"/>
    <n v="0"/>
    <s v="90 days +"/>
  </r>
  <r>
    <s v="Omicron Ltd "/>
    <x v="3"/>
    <x v="1"/>
    <s v="INV015"/>
    <d v="2025-06-28T00:00:00"/>
    <d v="2025-07-28T00:00:00"/>
    <n v="7750"/>
    <s v="Y"/>
    <n v="122"/>
    <n v="0"/>
    <s v="90 days +"/>
  </r>
  <r>
    <s v="Gamma Ltd "/>
    <x v="3"/>
    <x v="0"/>
    <s v="INV003"/>
    <d v="2025-06-30T00:00:00"/>
    <d v="2025-07-30T00:00:00"/>
    <n v="15200"/>
    <s v="Y"/>
    <n v="120"/>
    <n v="0"/>
    <s v="90 days +"/>
  </r>
  <r>
    <s v="Epsilon Ltd "/>
    <x v="2"/>
    <x v="0"/>
    <s v="INV005"/>
    <d v="2025-07-01T00:00:00"/>
    <d v="2025-08-01T00:00:00"/>
    <n v="22000"/>
    <s v="N"/>
    <n v="118"/>
    <n v="22000"/>
    <s v="90 days +"/>
  </r>
  <r>
    <s v="Xi Ltd "/>
    <x v="0"/>
    <x v="0"/>
    <s v="INV014"/>
    <d v="2025-07-05T00:00:00"/>
    <d v="2025-08-05T00:00:00"/>
    <n v="21000"/>
    <s v="N"/>
    <n v="114"/>
    <n v="21000"/>
    <s v="90 days +"/>
  </r>
  <r>
    <s v="Kappa Ltd "/>
    <x v="0"/>
    <x v="0"/>
    <s v="INV010"/>
    <d v="2025-07-10T00:00:00"/>
    <d v="2025-08-10T00:00:00"/>
    <n v="9450"/>
    <s v="N"/>
    <n v="109"/>
    <n v="9450"/>
    <s v="90 days +"/>
  </r>
  <r>
    <s v="Beta Ltd "/>
    <x v="0"/>
    <x v="1"/>
    <s v="INV002"/>
    <d v="2025-07-15T00:00:00"/>
    <d v="2025-08-15T00:00:00"/>
    <n v="8900"/>
    <s v="N"/>
    <n v="104"/>
    <n v="8900"/>
    <s v="90 days +"/>
  </r>
  <r>
    <s v="Lambda Ltd "/>
    <x v="3"/>
    <x v="1"/>
    <s v="INV011"/>
    <d v="2025-07-18T00:00:00"/>
    <d v="2025-08-18T00:00:00"/>
    <n v="11100"/>
    <s v="N"/>
    <n v="101"/>
    <n v="11100"/>
    <s v="90 days +"/>
  </r>
  <r>
    <s v="Rho Ltd "/>
    <x v="2"/>
    <x v="1"/>
    <s v="INV017"/>
    <d v="2025-07-22T00:00:00"/>
    <d v="2025-08-22T00:00:00"/>
    <n v="5200"/>
    <s v="N"/>
    <n v="97"/>
    <n v="5200"/>
    <s v="90 days +"/>
  </r>
  <r>
    <s v="Theta Ltd "/>
    <x v="1"/>
    <x v="0"/>
    <s v="INV008"/>
    <d v="2025-07-28T00:00:00"/>
    <d v="2025-08-28T00:00:00"/>
    <n v="17000"/>
    <s v="N"/>
    <n v="91"/>
    <n v="17000"/>
    <s v="90 days +"/>
  </r>
  <r>
    <s v="Upsilon Ltd "/>
    <x v="1"/>
    <x v="0"/>
    <s v="INV020"/>
    <d v="2025-07-30T00:00:00"/>
    <d v="2025-08-30T00:00:00"/>
    <n v="8300"/>
    <s v="N"/>
    <n v="89"/>
    <n v="8300"/>
    <s v="61-90"/>
  </r>
  <r>
    <s v="Alpha Ltd "/>
    <x v="2"/>
    <x v="0"/>
    <s v="INV001"/>
    <d v="2025-08-01T00:00:00"/>
    <d v="2025-09-01T00:00:00"/>
    <n v="12500"/>
    <s v="N"/>
    <n v="87"/>
    <n v="12500"/>
    <s v="61-90"/>
  </r>
  <r>
    <s v="Tau Ltd "/>
    <x v="3"/>
    <x v="1"/>
    <s v="INV019"/>
    <d v="2025-08-01T00:00:00"/>
    <d v="2025-09-01T00:00:00"/>
    <n v="3900"/>
    <s v="N"/>
    <n v="87"/>
    <n v="3900"/>
    <s v="61-90"/>
  </r>
  <r>
    <s v="Nu Ltd "/>
    <x v="2"/>
    <x v="1"/>
    <s v="INV013"/>
    <d v="2025-08-03T00:00:00"/>
    <d v="2025-09-03T00:00:00"/>
    <n v="6500"/>
    <s v="N"/>
    <n v="85"/>
    <n v="6500"/>
    <s v="61-90"/>
  </r>
  <r>
    <s v="Eta Ltd "/>
    <x v="3"/>
    <x v="1"/>
    <s v="INV007"/>
    <d v="2025-08-05T00:00:00"/>
    <d v="2025-09-05T00:00:00"/>
    <n v="4600"/>
    <s v="N"/>
    <n v="83"/>
    <n v="4600"/>
    <s v="61-90"/>
  </r>
  <r>
    <s v="Delta Ltd "/>
    <x v="1"/>
    <x v="1"/>
    <s v="INV004"/>
    <d v="2025-08-12T00:00:00"/>
    <d v="2025-09-12T00:00:00"/>
    <n v="5750"/>
    <s v="N"/>
    <n v="76"/>
    <n v="5750"/>
    <s v="61-90"/>
  </r>
  <r>
    <s v="Pi Ltd "/>
    <x v="1"/>
    <x v="0"/>
    <s v="INV016"/>
    <d v="2025-08-14T00:00:00"/>
    <d v="2025-09-14T00:00:00"/>
    <n v="13300"/>
    <s v="N"/>
    <n v="74"/>
    <n v="13300"/>
    <s v="61-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265D2-54B7-4BB7-820F-97594871C256}" name="PivotTable8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 rowHeaderCaption="Month" colHeaderCaption="Paid">
  <location ref="A3:D8" firstHeaderRow="1" firstDataRow="2" firstDataCol="1"/>
  <pivotFields count="13"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numFmtId="169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169" showAll="0"/>
    <pivotField dataField="1" numFmtId="3" showAll="0"/>
    <pivotField axis="axisCol" showAll="0">
      <items count="3">
        <item x="1"/>
        <item x="0"/>
        <item t="default"/>
      </items>
    </pivotField>
    <pivotField numFmtId="3" showAll="0"/>
    <pivotField numFmtId="43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4">
    <i>
      <x v="6"/>
    </i>
    <i>
      <x v="7"/>
    </i>
    <i>
      <x v="8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mary" fld="6" baseField="0" baseItem="0" numFmtId="3"/>
  </dataFields>
  <chartFormats count="4"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4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4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06922-C4C7-4F26-BB2B-82F2E34CD07E}" name="PivotTable6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Region">
  <location ref="A3:B8" firstHeaderRow="1" firstDataRow="1" firstDataCol="1"/>
  <pivotFields count="11">
    <pivotField axis="axisRow" showAll="0" measureFilter="1">
      <items count="21">
        <item x="14"/>
        <item x="9"/>
        <item x="18"/>
        <item x="6"/>
        <item x="17"/>
        <item x="5"/>
        <item x="2"/>
        <item x="8"/>
        <item x="10"/>
        <item x="1"/>
        <item x="16"/>
        <item x="4"/>
        <item x="19"/>
        <item x="11"/>
        <item x="0"/>
        <item x="15"/>
        <item x="12"/>
        <item x="13"/>
        <item x="7"/>
        <item x="3"/>
        <item t="default"/>
      </items>
    </pivotField>
    <pivotField axis="axisRow" showAll="0">
      <items count="5">
        <item sd="0" x="3"/>
        <item sd="0" x="2"/>
        <item sd="0" x="0"/>
        <item sd="0" x="1"/>
        <item t="default" sd="0"/>
      </items>
    </pivotField>
    <pivotField showAll="0"/>
    <pivotField showAll="0"/>
    <pivotField numFmtId="169" showAll="0"/>
    <pivotField numFmtId="169" showAll="0"/>
    <pivotField numFmtId="3" showAll="0"/>
    <pivotField showAll="0"/>
    <pivotField numFmtId="3" showAll="0"/>
    <pivotField dataField="1" numFmtId="43" showAll="0">
      <items count="16">
        <item x="0"/>
        <item x="10"/>
        <item x="12"/>
        <item x="6"/>
        <item x="13"/>
        <item x="11"/>
        <item x="8"/>
        <item x="4"/>
        <item x="3"/>
        <item x="5"/>
        <item x="9"/>
        <item x="14"/>
        <item x="7"/>
        <item x="2"/>
        <item x="1"/>
        <item t="default"/>
      </items>
    </pivotField>
    <pivotField showAll="0"/>
  </pivotFields>
  <rowFields count="2">
    <field x="1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verdue Amount" fld="9" baseField="0" baseItem="0" numFmtId="43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0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01E4A-96CD-4DC7-AD63-4B89547C5DFF}" name="PivotTable10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ustomer Type">
  <location ref="A3:B6" firstHeaderRow="1" firstDataRow="1" firstDataCol="1"/>
  <pivotFields count="11">
    <pivotField showAll="0"/>
    <pivotField showAll="0">
      <items count="5">
        <item x="3"/>
        <item x="2"/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numFmtId="169" showAll="0"/>
    <pivotField numFmtId="169" showAll="0"/>
    <pivotField dataField="1" numFmtId="3" showAll="0"/>
    <pivotField showAll="0"/>
    <pivotField numFmtId="3" showAll="0"/>
    <pivotField numFmtId="43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Total Amount " fld="6" baseField="0" baseItem="0" numFmtId="3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D317E-1591-45A6-91AE-C2DD24DCF9E0}" name="PivotTable13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ustomer">
  <location ref="A3:B14" firstHeaderRow="1" firstDataRow="1" firstDataCol="1"/>
  <pivotFields count="13">
    <pivotField axis="axisRow" showAll="0" measureFilter="1">
      <items count="21">
        <item x="14"/>
        <item x="9"/>
        <item x="18"/>
        <item x="6"/>
        <item x="17"/>
        <item x="5"/>
        <item x="2"/>
        <item x="8"/>
        <item x="10"/>
        <item x="1"/>
        <item x="16"/>
        <item x="4"/>
        <item x="19"/>
        <item x="11"/>
        <item x="0"/>
        <item x="15"/>
        <item x="12"/>
        <item x="13"/>
        <item x="7"/>
        <item x="3"/>
        <item t="default"/>
      </items>
    </pivotField>
    <pivotField showAll="0"/>
    <pivotField showAll="0"/>
    <pivotField showAll="0"/>
    <pivotField numFmtId="169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169" showAll="0"/>
    <pivotField numFmtId="3" showAll="0"/>
    <pivotField showAll="0"/>
    <pivotField numFmtId="3" showAll="0"/>
    <pivotField dataField="1" numFmtId="43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11">
    <i>
      <x/>
    </i>
    <i>
      <x v="1"/>
    </i>
    <i>
      <x v="3"/>
    </i>
    <i>
      <x v="7"/>
    </i>
    <i>
      <x v="8"/>
    </i>
    <i>
      <x v="10"/>
    </i>
    <i>
      <x v="12"/>
    </i>
    <i>
      <x v="16"/>
    </i>
    <i>
      <x v="17"/>
    </i>
    <i>
      <x v="18"/>
    </i>
    <i t="grand">
      <x/>
    </i>
  </rowItems>
  <colItems count="1">
    <i/>
  </colItems>
  <dataFields count="1">
    <dataField name="Total Overdue" fld="9" baseField="0" baseItem="0" numFmtId="43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ABC84E-6DBE-4737-B327-E341BFBA016D}" name="Table1" displayName="Table1" ref="B3:L23" totalsRowShown="0" headerRowDxfId="0">
  <autoFilter ref="B3:L23" xr:uid="{9C4D5D21-0DEA-413A-8FB5-54EB0831EA12}"/>
  <sortState xmlns:xlrd2="http://schemas.microsoft.com/office/spreadsheetml/2017/richdata2" ref="B4:L23">
    <sortCondition ref="F3:F23"/>
  </sortState>
  <tableColumns count="11">
    <tableColumn id="1" xr3:uid="{53314883-EF26-43FD-B463-27B1AABBCF7C}" name="Customer Name " dataDxfId="11"/>
    <tableColumn id="2" xr3:uid="{2F5A6D86-84D5-45CE-A638-4BBECF2FFF29}" name=" Region " dataDxfId="10"/>
    <tableColumn id="3" xr3:uid="{8F51A385-6218-4E79-B514-FF88DE5D695B}" name=" Customer Type " dataDxfId="9"/>
    <tableColumn id="4" xr3:uid="{00044502-20E1-4804-83AE-638ABF860FBB}" name="InvoiceNo" dataDxfId="8"/>
    <tableColumn id="5" xr3:uid="{9EDA53AA-59E6-479F-879E-2110188FA8AA}" name=" Invoice Date " dataDxfId="7"/>
    <tableColumn id="6" xr3:uid="{9276C836-D6C5-4BF8-8B1C-8223DD429924}" name=" Due Date " dataDxfId="6"/>
    <tableColumn id="7" xr3:uid="{C1D1F488-86C1-447B-A46A-A2F88AAD07F9}" name=" Amount " dataDxfId="5"/>
    <tableColumn id="8" xr3:uid="{8D8DAE5C-701F-4FED-943D-6AA18F9ADE96}" name=" Paid" dataDxfId="4"/>
    <tableColumn id="9" xr3:uid="{BF493646-0586-4B65-8373-714DB1AED00A}" name="Days Overdue" dataDxfId="3">
      <calculatedColumnFormula>MAX(0,TODAY()-G4)</calculatedColumnFormula>
    </tableColumn>
    <tableColumn id="10" xr3:uid="{138B4244-966B-4CDA-9B4B-5174198851D0}" name="Overdue Amount" dataDxfId="2" dataCellStyle="Comma">
      <calculatedColumnFormula>IF(I4="N",H4,0)</calculatedColumnFormula>
    </tableColumn>
    <tableColumn id="11" xr3:uid="{D56DF89C-BBCD-4622-BAF4-DC7E14BC550A}" name="Age Buckets" dataDxfId="1">
      <calculatedColumnFormula>IF(J4&lt;90,"61-90")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149D-1351-4837-990A-FB967615F448}">
  <dimension ref="A1"/>
  <sheetViews>
    <sheetView showGridLines="0"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2F2A-B497-45A8-AAE1-E7AA49CBD07C}">
  <dimension ref="A3:D8"/>
  <sheetViews>
    <sheetView showGridLines="0" workbookViewId="0"/>
  </sheetViews>
  <sheetFormatPr defaultRowHeight="15" x14ac:dyDescent="0.25"/>
  <cols>
    <col min="1" max="1" width="11.28515625" bestFit="1" customWidth="1"/>
    <col min="2" max="2" width="7.5703125" bestFit="1" customWidth="1"/>
    <col min="3" max="3" width="6.5703125" bestFit="1" customWidth="1"/>
    <col min="4" max="4" width="11.28515625" bestFit="1" customWidth="1"/>
  </cols>
  <sheetData>
    <row r="3" spans="1:4" x14ac:dyDescent="0.25">
      <c r="A3" s="12" t="s">
        <v>67</v>
      </c>
      <c r="B3" s="12" t="s">
        <v>4</v>
      </c>
    </row>
    <row r="4" spans="1:4" x14ac:dyDescent="0.25">
      <c r="A4" s="12" t="s">
        <v>68</v>
      </c>
      <c r="B4" t="s">
        <v>39</v>
      </c>
      <c r="C4" t="s">
        <v>40</v>
      </c>
      <c r="D4" t="s">
        <v>63</v>
      </c>
    </row>
    <row r="5" spans="1:4" x14ac:dyDescent="0.25">
      <c r="A5" s="13" t="s">
        <v>64</v>
      </c>
      <c r="B5" s="1"/>
      <c r="C5" s="1">
        <v>58400</v>
      </c>
      <c r="D5" s="1">
        <v>58400</v>
      </c>
    </row>
    <row r="6" spans="1:4" x14ac:dyDescent="0.25">
      <c r="A6" s="13" t="s">
        <v>65</v>
      </c>
      <c r="B6" s="1">
        <v>102950</v>
      </c>
      <c r="C6" s="1"/>
      <c r="D6" s="1">
        <v>102950</v>
      </c>
    </row>
    <row r="7" spans="1:4" x14ac:dyDescent="0.25">
      <c r="A7" s="13" t="s">
        <v>66</v>
      </c>
      <c r="B7" s="1">
        <v>46550</v>
      </c>
      <c r="C7" s="1"/>
      <c r="D7" s="1">
        <v>46550</v>
      </c>
    </row>
    <row r="8" spans="1:4" x14ac:dyDescent="0.25">
      <c r="A8" s="13" t="s">
        <v>63</v>
      </c>
      <c r="B8" s="1">
        <v>149500</v>
      </c>
      <c r="C8" s="1">
        <v>58400</v>
      </c>
      <c r="D8" s="1">
        <v>207900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FB3E-AEE1-4A9E-9AA8-76DAACBC7177}">
  <dimension ref="A1:B28"/>
  <sheetViews>
    <sheetView showGridLines="0" workbookViewId="0">
      <selection activeCell="A4" sqref="A4"/>
    </sheetView>
  </sheetViews>
  <sheetFormatPr defaultRowHeight="15" x14ac:dyDescent="0.25"/>
  <cols>
    <col min="1" max="1" width="11.28515625" bestFit="1" customWidth="1"/>
    <col min="2" max="2" width="23.28515625" style="3" bestFit="1" customWidth="1"/>
  </cols>
  <sheetData>
    <row r="1" spans="1:2" x14ac:dyDescent="0.25">
      <c r="B1"/>
    </row>
    <row r="3" spans="1:2" x14ac:dyDescent="0.25">
      <c r="A3" s="12" t="s">
        <v>1</v>
      </c>
      <c r="B3" t="s">
        <v>62</v>
      </c>
    </row>
    <row r="4" spans="1:2" ht="15.75" customHeight="1" x14ac:dyDescent="0.25">
      <c r="A4" s="13" t="s">
        <v>19</v>
      </c>
      <c r="B4" s="14">
        <v>19600</v>
      </c>
    </row>
    <row r="5" spans="1:2" x14ac:dyDescent="0.25">
      <c r="A5" s="13" t="s">
        <v>13</v>
      </c>
      <c r="B5" s="14">
        <v>46200</v>
      </c>
    </row>
    <row r="6" spans="1:2" x14ac:dyDescent="0.25">
      <c r="A6" s="13" t="s">
        <v>16</v>
      </c>
      <c r="B6" s="14">
        <v>39350</v>
      </c>
    </row>
    <row r="7" spans="1:2" x14ac:dyDescent="0.25">
      <c r="A7" s="13" t="s">
        <v>21</v>
      </c>
      <c r="B7" s="14">
        <v>44350</v>
      </c>
    </row>
    <row r="8" spans="1:2" x14ac:dyDescent="0.25">
      <c r="A8" s="13" t="s">
        <v>63</v>
      </c>
      <c r="B8" s="14">
        <v>149500</v>
      </c>
    </row>
    <row r="9" spans="1:2" x14ac:dyDescent="0.25">
      <c r="B9"/>
    </row>
    <row r="10" spans="1:2" x14ac:dyDescent="0.25">
      <c r="B10"/>
    </row>
    <row r="11" spans="1:2" x14ac:dyDescent="0.25">
      <c r="B11"/>
    </row>
    <row r="12" spans="1:2" x14ac:dyDescent="0.25">
      <c r="B12"/>
    </row>
    <row r="13" spans="1:2" x14ac:dyDescent="0.25">
      <c r="B13"/>
    </row>
    <row r="14" spans="1:2" x14ac:dyDescent="0.25">
      <c r="B14"/>
    </row>
    <row r="15" spans="1:2" x14ac:dyDescent="0.25">
      <c r="B15"/>
    </row>
    <row r="16" spans="1:2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F464-DD0E-4500-A3AF-66C4912E4E4B}">
  <dimension ref="A3:B6"/>
  <sheetViews>
    <sheetView showGridLines="0" workbookViewId="0">
      <selection activeCell="A3" sqref="A3"/>
    </sheetView>
  </sheetViews>
  <sheetFormatPr defaultRowHeight="15" x14ac:dyDescent="0.25"/>
  <cols>
    <col min="1" max="1" width="17.140625" bestFit="1" customWidth="1"/>
    <col min="2" max="3" width="15.7109375" bestFit="1" customWidth="1"/>
  </cols>
  <sheetData>
    <row r="3" spans="1:2" x14ac:dyDescent="0.25">
      <c r="A3" s="12" t="s">
        <v>69</v>
      </c>
      <c r="B3" t="s">
        <v>70</v>
      </c>
    </row>
    <row r="4" spans="1:2" x14ac:dyDescent="0.25">
      <c r="A4" s="13" t="s">
        <v>14</v>
      </c>
      <c r="B4" s="1">
        <v>150950</v>
      </c>
    </row>
    <row r="5" spans="1:2" x14ac:dyDescent="0.25">
      <c r="A5" s="13" t="s">
        <v>17</v>
      </c>
      <c r="B5" s="1">
        <v>56950</v>
      </c>
    </row>
    <row r="6" spans="1:2" x14ac:dyDescent="0.25">
      <c r="A6" s="13" t="s">
        <v>63</v>
      </c>
      <c r="B6" s="1">
        <v>207900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0B0F-2FC9-42DA-9143-EF7AE92E374C}">
  <dimension ref="A3:B14"/>
  <sheetViews>
    <sheetView showGridLines="0" workbookViewId="0"/>
  </sheetViews>
  <sheetFormatPr defaultRowHeight="15" x14ac:dyDescent="0.25"/>
  <cols>
    <col min="1" max="1" width="13.42578125" bestFit="1" customWidth="1"/>
    <col min="2" max="2" width="23.28515625" bestFit="1" customWidth="1"/>
  </cols>
  <sheetData>
    <row r="3" spans="1:2" x14ac:dyDescent="0.25">
      <c r="A3" s="12" t="s">
        <v>0</v>
      </c>
      <c r="B3" t="s">
        <v>71</v>
      </c>
    </row>
    <row r="4" spans="1:2" x14ac:dyDescent="0.25">
      <c r="A4" s="13" t="s">
        <v>12</v>
      </c>
      <c r="B4" s="14">
        <v>12500</v>
      </c>
    </row>
    <row r="5" spans="1:2" x14ac:dyDescent="0.25">
      <c r="A5" s="13" t="s">
        <v>15</v>
      </c>
      <c r="B5" s="14">
        <v>8900</v>
      </c>
    </row>
    <row r="6" spans="1:2" x14ac:dyDescent="0.25">
      <c r="A6" s="13" t="s">
        <v>22</v>
      </c>
      <c r="B6" s="14">
        <v>22000</v>
      </c>
    </row>
    <row r="7" spans="1:2" x14ac:dyDescent="0.25">
      <c r="A7" s="13" t="s">
        <v>27</v>
      </c>
      <c r="B7" s="14">
        <v>9450</v>
      </c>
    </row>
    <row r="8" spans="1:2" x14ac:dyDescent="0.25">
      <c r="A8" s="13" t="s">
        <v>28</v>
      </c>
      <c r="B8" s="14">
        <v>11100</v>
      </c>
    </row>
    <row r="9" spans="1:2" x14ac:dyDescent="0.25">
      <c r="A9" s="13" t="s">
        <v>30</v>
      </c>
      <c r="B9" s="14">
        <v>6500</v>
      </c>
    </row>
    <row r="10" spans="1:2" x14ac:dyDescent="0.25">
      <c r="A10" s="13" t="s">
        <v>33</v>
      </c>
      <c r="B10" s="14">
        <v>13300</v>
      </c>
    </row>
    <row r="11" spans="1:2" x14ac:dyDescent="0.25">
      <c r="A11" s="13" t="s">
        <v>25</v>
      </c>
      <c r="B11" s="14">
        <v>17000</v>
      </c>
    </row>
    <row r="12" spans="1:2" x14ac:dyDescent="0.25">
      <c r="A12" s="13" t="s">
        <v>37</v>
      </c>
      <c r="B12" s="14">
        <v>8300</v>
      </c>
    </row>
    <row r="13" spans="1:2" x14ac:dyDescent="0.25">
      <c r="A13" s="13" t="s">
        <v>31</v>
      </c>
      <c r="B13" s="14">
        <v>21000</v>
      </c>
    </row>
    <row r="14" spans="1:2" x14ac:dyDescent="0.25">
      <c r="A14" s="13" t="s">
        <v>63</v>
      </c>
      <c r="B14" s="14">
        <v>130050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5D21-0DEA-413A-8FB5-54EB0831EA12}">
  <dimension ref="B3:L23"/>
  <sheetViews>
    <sheetView showGridLines="0" workbookViewId="0"/>
  </sheetViews>
  <sheetFormatPr defaultRowHeight="15" x14ac:dyDescent="0.25"/>
  <cols>
    <col min="1" max="2" width="20.85546875" style="4" bestFit="1" customWidth="1"/>
    <col min="3" max="3" width="12.7109375" style="4" bestFit="1" customWidth="1"/>
    <col min="4" max="4" width="20.28515625" style="4" bestFit="1" customWidth="1"/>
    <col min="5" max="5" width="14.7109375" style="4" bestFit="1" customWidth="1"/>
    <col min="6" max="6" width="17.85546875" style="4" bestFit="1" customWidth="1"/>
    <col min="7" max="7" width="14.85546875" style="4" bestFit="1" customWidth="1"/>
    <col min="8" max="8" width="13.42578125" style="4" bestFit="1" customWidth="1"/>
    <col min="9" max="9" width="9.85546875" style="4" bestFit="1" customWidth="1"/>
    <col min="10" max="10" width="18.28515625" style="11" bestFit="1" customWidth="1"/>
    <col min="11" max="11" width="20.85546875" style="4" bestFit="1" customWidth="1"/>
    <col min="12" max="12" width="16.42578125" style="4" bestFit="1" customWidth="1"/>
    <col min="13" max="16384" width="9.140625" style="4"/>
  </cols>
  <sheetData>
    <row r="3" spans="2:12" x14ac:dyDescent="0.25">
      <c r="B3" s="2" t="s">
        <v>5</v>
      </c>
      <c r="C3" s="2" t="s">
        <v>6</v>
      </c>
      <c r="D3" s="2" t="s">
        <v>7</v>
      </c>
      <c r="E3" s="2" t="s">
        <v>43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38</v>
      </c>
      <c r="K3" s="2" t="s">
        <v>41</v>
      </c>
      <c r="L3" s="2" t="s">
        <v>42</v>
      </c>
    </row>
    <row r="4" spans="2:12" x14ac:dyDescent="0.25">
      <c r="B4" s="4" t="s">
        <v>35</v>
      </c>
      <c r="C4" s="4" t="s">
        <v>16</v>
      </c>
      <c r="D4" s="4" t="s">
        <v>14</v>
      </c>
      <c r="E4" s="4" t="s">
        <v>44</v>
      </c>
      <c r="F4" s="5">
        <v>45818</v>
      </c>
      <c r="G4" s="5">
        <v>45848</v>
      </c>
      <c r="H4" s="6">
        <v>10500</v>
      </c>
      <c r="I4" s="4" t="s">
        <v>40</v>
      </c>
      <c r="J4" s="7">
        <f ca="1">MAX(0,TODAY()-G4)</f>
        <v>140</v>
      </c>
      <c r="K4" s="8">
        <f>IF(I4="N",H4,0)</f>
        <v>0</v>
      </c>
      <c r="L4" s="4" t="str">
        <f ca="1">IF(J4&gt;90,"90 days +")</f>
        <v>90 days +</v>
      </c>
    </row>
    <row r="5" spans="2:12" x14ac:dyDescent="0.25">
      <c r="B5" s="4" t="s">
        <v>29</v>
      </c>
      <c r="C5" s="4" t="s">
        <v>21</v>
      </c>
      <c r="D5" s="4" t="s">
        <v>14</v>
      </c>
      <c r="E5" s="4" t="s">
        <v>45</v>
      </c>
      <c r="F5" s="5">
        <v>45820</v>
      </c>
      <c r="G5" s="5">
        <v>45850</v>
      </c>
      <c r="H5" s="6">
        <v>14900</v>
      </c>
      <c r="I5" s="4" t="s">
        <v>40</v>
      </c>
      <c r="J5" s="7">
        <f ca="1">MAX(0,TODAY()-G5)</f>
        <v>138</v>
      </c>
      <c r="K5" s="8">
        <f>IF(I5="N",H5,0)</f>
        <v>0</v>
      </c>
      <c r="L5" s="4" t="str">
        <f ca="1">IF(J5&gt;90,"90 days +")</f>
        <v>90 days +</v>
      </c>
    </row>
    <row r="6" spans="2:12" x14ac:dyDescent="0.25">
      <c r="B6" s="9" t="s">
        <v>26</v>
      </c>
      <c r="C6" s="9" t="s">
        <v>13</v>
      </c>
      <c r="D6" s="9" t="s">
        <v>17</v>
      </c>
      <c r="E6" s="10" t="s">
        <v>46</v>
      </c>
      <c r="F6" s="5">
        <v>45823</v>
      </c>
      <c r="G6" s="5">
        <v>45853</v>
      </c>
      <c r="H6" s="7">
        <v>3250</v>
      </c>
      <c r="I6" s="9" t="s">
        <v>40</v>
      </c>
      <c r="J6" s="7">
        <f ca="1">MAX(0,TODAY()-G6)</f>
        <v>135</v>
      </c>
      <c r="K6" s="8">
        <f>IF(I6="N",H6,0)</f>
        <v>0</v>
      </c>
      <c r="L6" s="4" t="str">
        <f ca="1">IF(J6&gt;90,"90 days +")</f>
        <v>90 days +</v>
      </c>
    </row>
    <row r="7" spans="2:12" x14ac:dyDescent="0.25">
      <c r="B7" s="9" t="s">
        <v>23</v>
      </c>
      <c r="C7" s="9" t="s">
        <v>16</v>
      </c>
      <c r="D7" s="9" t="s">
        <v>14</v>
      </c>
      <c r="E7" s="10" t="s">
        <v>47</v>
      </c>
      <c r="F7" s="5">
        <v>45828</v>
      </c>
      <c r="G7" s="5">
        <v>45858</v>
      </c>
      <c r="H7" s="7">
        <v>6800</v>
      </c>
      <c r="I7" s="9" t="s">
        <v>40</v>
      </c>
      <c r="J7" s="7">
        <f ca="1">MAX(0,TODAY()-G7)</f>
        <v>130</v>
      </c>
      <c r="K7" s="8">
        <f>IF(I7="N",H7,0)</f>
        <v>0</v>
      </c>
      <c r="L7" s="4" t="str">
        <f ca="1">IF(J7&gt;90,"90 days +")</f>
        <v>90 days +</v>
      </c>
    </row>
    <row r="8" spans="2:12" x14ac:dyDescent="0.25">
      <c r="B8" s="4" t="s">
        <v>32</v>
      </c>
      <c r="C8" s="4" t="s">
        <v>19</v>
      </c>
      <c r="D8" s="4" t="s">
        <v>17</v>
      </c>
      <c r="E8" s="4" t="s">
        <v>48</v>
      </c>
      <c r="F8" s="5">
        <v>45836</v>
      </c>
      <c r="G8" s="5">
        <v>45866</v>
      </c>
      <c r="H8" s="6">
        <v>7750</v>
      </c>
      <c r="I8" s="4" t="s">
        <v>40</v>
      </c>
      <c r="J8" s="7">
        <f ca="1">MAX(0,TODAY()-G8)</f>
        <v>122</v>
      </c>
      <c r="K8" s="8">
        <f>IF(I8="N",H8,0)</f>
        <v>0</v>
      </c>
      <c r="L8" s="4" t="str">
        <f ca="1">IF(J8&gt;90,"90 days +")</f>
        <v>90 days +</v>
      </c>
    </row>
    <row r="9" spans="2:12" x14ac:dyDescent="0.25">
      <c r="B9" s="9" t="s">
        <v>18</v>
      </c>
      <c r="C9" s="9" t="s">
        <v>19</v>
      </c>
      <c r="D9" s="9" t="s">
        <v>14</v>
      </c>
      <c r="E9" s="10" t="s">
        <v>49</v>
      </c>
      <c r="F9" s="5">
        <v>45838</v>
      </c>
      <c r="G9" s="5">
        <v>45868</v>
      </c>
      <c r="H9" s="7">
        <v>15200</v>
      </c>
      <c r="I9" s="9" t="s">
        <v>40</v>
      </c>
      <c r="J9" s="7">
        <f ca="1">MAX(0,TODAY()-G9)</f>
        <v>120</v>
      </c>
      <c r="K9" s="8">
        <f>IF(I9="N",H9,0)</f>
        <v>0</v>
      </c>
      <c r="L9" s="4" t="str">
        <f ca="1">IF(J9&gt;90,"90 days +")</f>
        <v>90 days +</v>
      </c>
    </row>
    <row r="10" spans="2:12" x14ac:dyDescent="0.25">
      <c r="B10" s="9" t="s">
        <v>22</v>
      </c>
      <c r="C10" s="9" t="s">
        <v>13</v>
      </c>
      <c r="D10" s="9" t="s">
        <v>14</v>
      </c>
      <c r="E10" s="10" t="s">
        <v>50</v>
      </c>
      <c r="F10" s="5">
        <v>45839</v>
      </c>
      <c r="G10" s="5">
        <v>45870</v>
      </c>
      <c r="H10" s="7">
        <v>22000</v>
      </c>
      <c r="I10" s="9" t="s">
        <v>39</v>
      </c>
      <c r="J10" s="7">
        <f ca="1">MAX(0,TODAY()-G10)</f>
        <v>118</v>
      </c>
      <c r="K10" s="8">
        <f>IF(I10="N",H10,0)</f>
        <v>22000</v>
      </c>
      <c r="L10" s="4" t="str">
        <f ca="1">IF(J10&gt;90,"90 days +")</f>
        <v>90 days +</v>
      </c>
    </row>
    <row r="11" spans="2:12" x14ac:dyDescent="0.25">
      <c r="B11" s="4" t="s">
        <v>31</v>
      </c>
      <c r="C11" s="4" t="s">
        <v>16</v>
      </c>
      <c r="D11" s="4" t="s">
        <v>14</v>
      </c>
      <c r="E11" s="4" t="s">
        <v>51</v>
      </c>
      <c r="F11" s="5">
        <v>45843</v>
      </c>
      <c r="G11" s="5">
        <v>45874</v>
      </c>
      <c r="H11" s="6">
        <v>21000</v>
      </c>
      <c r="I11" s="4" t="s">
        <v>39</v>
      </c>
      <c r="J11" s="7">
        <f ca="1">MAX(0,TODAY()-G11)</f>
        <v>114</v>
      </c>
      <c r="K11" s="8">
        <f>IF(I11="N",H11,0)</f>
        <v>21000</v>
      </c>
      <c r="L11" s="4" t="str">
        <f ca="1">IF(J11&gt;90,"90 days +")</f>
        <v>90 days +</v>
      </c>
    </row>
    <row r="12" spans="2:12" x14ac:dyDescent="0.25">
      <c r="B12" s="4" t="s">
        <v>27</v>
      </c>
      <c r="C12" s="4" t="s">
        <v>16</v>
      </c>
      <c r="D12" s="4" t="s">
        <v>14</v>
      </c>
      <c r="E12" s="4" t="s">
        <v>52</v>
      </c>
      <c r="F12" s="5">
        <v>45848</v>
      </c>
      <c r="G12" s="5">
        <v>45879</v>
      </c>
      <c r="H12" s="6">
        <v>9450</v>
      </c>
      <c r="I12" s="4" t="s">
        <v>39</v>
      </c>
      <c r="J12" s="7">
        <f ca="1">MAX(0,TODAY()-G12)</f>
        <v>109</v>
      </c>
      <c r="K12" s="8">
        <f>IF(I12="N",H12,0)</f>
        <v>9450</v>
      </c>
      <c r="L12" s="4" t="str">
        <f ca="1">IF(J12&gt;90,"90 days +")</f>
        <v>90 days +</v>
      </c>
    </row>
    <row r="13" spans="2:12" x14ac:dyDescent="0.25">
      <c r="B13" s="9" t="s">
        <v>15</v>
      </c>
      <c r="C13" s="9" t="s">
        <v>16</v>
      </c>
      <c r="D13" s="9" t="s">
        <v>17</v>
      </c>
      <c r="E13" s="10" t="s">
        <v>3</v>
      </c>
      <c r="F13" s="5">
        <v>45853</v>
      </c>
      <c r="G13" s="5">
        <v>45884</v>
      </c>
      <c r="H13" s="7">
        <v>8900</v>
      </c>
      <c r="I13" s="9" t="s">
        <v>39</v>
      </c>
      <c r="J13" s="7">
        <f ca="1">MAX(0,TODAY()-G13)</f>
        <v>104</v>
      </c>
      <c r="K13" s="8">
        <f>IF(I13="N",H13,0)</f>
        <v>8900</v>
      </c>
      <c r="L13" s="4" t="str">
        <f ca="1">IF(J13&gt;90,"90 days +")</f>
        <v>90 days +</v>
      </c>
    </row>
    <row r="14" spans="2:12" x14ac:dyDescent="0.25">
      <c r="B14" s="4" t="s">
        <v>28</v>
      </c>
      <c r="C14" s="4" t="s">
        <v>19</v>
      </c>
      <c r="D14" s="4" t="s">
        <v>17</v>
      </c>
      <c r="E14" s="4" t="s">
        <v>53</v>
      </c>
      <c r="F14" s="5">
        <v>45856</v>
      </c>
      <c r="G14" s="5">
        <v>45887</v>
      </c>
      <c r="H14" s="6">
        <v>11100</v>
      </c>
      <c r="I14" s="4" t="s">
        <v>39</v>
      </c>
      <c r="J14" s="7">
        <f ca="1">MAX(0,TODAY()-G14)</f>
        <v>101</v>
      </c>
      <c r="K14" s="8">
        <f>IF(I14="N",H14,0)</f>
        <v>11100</v>
      </c>
      <c r="L14" s="4" t="str">
        <f ca="1">IF(J14&gt;90,"90 days +")</f>
        <v>90 days +</v>
      </c>
    </row>
    <row r="15" spans="2:12" x14ac:dyDescent="0.25">
      <c r="B15" s="4" t="s">
        <v>34</v>
      </c>
      <c r="C15" s="4" t="s">
        <v>13</v>
      </c>
      <c r="D15" s="4" t="s">
        <v>17</v>
      </c>
      <c r="E15" s="4" t="s">
        <v>54</v>
      </c>
      <c r="F15" s="5">
        <v>45860</v>
      </c>
      <c r="G15" s="5">
        <v>45891</v>
      </c>
      <c r="H15" s="6">
        <v>5200</v>
      </c>
      <c r="I15" s="4" t="s">
        <v>39</v>
      </c>
      <c r="J15" s="7">
        <f ca="1">MAX(0,TODAY()-G15)</f>
        <v>97</v>
      </c>
      <c r="K15" s="8">
        <f>IF(I15="N",H15,0)</f>
        <v>5200</v>
      </c>
      <c r="L15" s="4" t="str">
        <f ca="1">IF(J15&gt;90,"90 days +")</f>
        <v>90 days +</v>
      </c>
    </row>
    <row r="16" spans="2:12" x14ac:dyDescent="0.25">
      <c r="B16" s="9" t="s">
        <v>25</v>
      </c>
      <c r="C16" s="9" t="s">
        <v>21</v>
      </c>
      <c r="D16" s="9" t="s">
        <v>14</v>
      </c>
      <c r="E16" s="10" t="s">
        <v>55</v>
      </c>
      <c r="F16" s="5">
        <v>45866</v>
      </c>
      <c r="G16" s="5">
        <v>45897</v>
      </c>
      <c r="H16" s="7">
        <v>17000</v>
      </c>
      <c r="I16" s="9" t="s">
        <v>39</v>
      </c>
      <c r="J16" s="7">
        <f ca="1">MAX(0,TODAY()-G16)</f>
        <v>91</v>
      </c>
      <c r="K16" s="8">
        <f>IF(I16="N",H16,0)</f>
        <v>17000</v>
      </c>
      <c r="L16" s="4" t="str">
        <f ca="1">IF(J16&gt;90,"90 days +")</f>
        <v>90 days +</v>
      </c>
    </row>
    <row r="17" spans="2:12" x14ac:dyDescent="0.25">
      <c r="B17" s="4" t="s">
        <v>37</v>
      </c>
      <c r="C17" s="4" t="s">
        <v>21</v>
      </c>
      <c r="D17" s="4" t="s">
        <v>14</v>
      </c>
      <c r="E17" s="4" t="s">
        <v>56</v>
      </c>
      <c r="F17" s="5">
        <v>45868</v>
      </c>
      <c r="G17" s="5">
        <v>45899</v>
      </c>
      <c r="H17" s="6">
        <v>8300</v>
      </c>
      <c r="I17" s="4" t="s">
        <v>39</v>
      </c>
      <c r="J17" s="7">
        <f ca="1">MAX(0,TODAY()-G17)</f>
        <v>89</v>
      </c>
      <c r="K17" s="8">
        <f>IF(I17="N",H17,0)</f>
        <v>8300</v>
      </c>
      <c r="L17" s="4" t="str">
        <f ca="1">IF(J17&lt;90,"61-90")</f>
        <v>61-90</v>
      </c>
    </row>
    <row r="18" spans="2:12" x14ac:dyDescent="0.25">
      <c r="B18" s="9" t="s">
        <v>12</v>
      </c>
      <c r="C18" s="9" t="s">
        <v>13</v>
      </c>
      <c r="D18" s="9" t="s">
        <v>14</v>
      </c>
      <c r="E18" s="10" t="s">
        <v>2</v>
      </c>
      <c r="F18" s="5">
        <v>45870</v>
      </c>
      <c r="G18" s="5">
        <v>45901</v>
      </c>
      <c r="H18" s="7">
        <v>12500</v>
      </c>
      <c r="I18" s="9" t="s">
        <v>39</v>
      </c>
      <c r="J18" s="7">
        <f ca="1">MAX(0,TODAY()-G18)</f>
        <v>87</v>
      </c>
      <c r="K18" s="8">
        <f>IF(I18="N",H18,0)</f>
        <v>12500</v>
      </c>
      <c r="L18" s="4" t="str">
        <f ca="1">IF(J18&lt;90,"61-90")</f>
        <v>61-90</v>
      </c>
    </row>
    <row r="19" spans="2:12" x14ac:dyDescent="0.25">
      <c r="B19" s="4" t="s">
        <v>36</v>
      </c>
      <c r="C19" s="4" t="s">
        <v>19</v>
      </c>
      <c r="D19" s="4" t="s">
        <v>17</v>
      </c>
      <c r="E19" s="4" t="s">
        <v>57</v>
      </c>
      <c r="F19" s="5">
        <v>45870</v>
      </c>
      <c r="G19" s="5">
        <v>45901</v>
      </c>
      <c r="H19" s="6">
        <v>3900</v>
      </c>
      <c r="I19" s="4" t="s">
        <v>39</v>
      </c>
      <c r="J19" s="7">
        <f ca="1">MAX(0,TODAY()-G19)</f>
        <v>87</v>
      </c>
      <c r="K19" s="8">
        <f>IF(I19="N",H19,0)</f>
        <v>3900</v>
      </c>
      <c r="L19" s="4" t="str">
        <f ca="1">IF(J19&lt;90,"61-90")</f>
        <v>61-90</v>
      </c>
    </row>
    <row r="20" spans="2:12" x14ac:dyDescent="0.25">
      <c r="B20" s="4" t="s">
        <v>30</v>
      </c>
      <c r="C20" s="4" t="s">
        <v>13</v>
      </c>
      <c r="D20" s="4" t="s">
        <v>17</v>
      </c>
      <c r="E20" s="4" t="s">
        <v>58</v>
      </c>
      <c r="F20" s="5">
        <v>45872</v>
      </c>
      <c r="G20" s="5">
        <v>45903</v>
      </c>
      <c r="H20" s="6">
        <v>6500</v>
      </c>
      <c r="I20" s="4" t="s">
        <v>39</v>
      </c>
      <c r="J20" s="7">
        <f ca="1">MAX(0,TODAY()-G20)</f>
        <v>85</v>
      </c>
      <c r="K20" s="8">
        <f>IF(I20="N",H20,0)</f>
        <v>6500</v>
      </c>
      <c r="L20" s="4" t="str">
        <f ca="1">IF(J20&lt;90,"61-90")</f>
        <v>61-90</v>
      </c>
    </row>
    <row r="21" spans="2:12" x14ac:dyDescent="0.25">
      <c r="B21" s="9" t="s">
        <v>24</v>
      </c>
      <c r="C21" s="9" t="s">
        <v>19</v>
      </c>
      <c r="D21" s="9" t="s">
        <v>17</v>
      </c>
      <c r="E21" s="10" t="s">
        <v>59</v>
      </c>
      <c r="F21" s="5">
        <v>45874</v>
      </c>
      <c r="G21" s="5">
        <v>45905</v>
      </c>
      <c r="H21" s="7">
        <v>4600</v>
      </c>
      <c r="I21" s="9" t="s">
        <v>39</v>
      </c>
      <c r="J21" s="7">
        <f ca="1">MAX(0,TODAY()-G21)</f>
        <v>83</v>
      </c>
      <c r="K21" s="8">
        <f>IF(I21="N",H21,0)</f>
        <v>4600</v>
      </c>
      <c r="L21" s="4" t="str">
        <f ca="1">IF(J21&lt;90,"61-90")</f>
        <v>61-90</v>
      </c>
    </row>
    <row r="22" spans="2:12" x14ac:dyDescent="0.25">
      <c r="B22" s="9" t="s">
        <v>20</v>
      </c>
      <c r="C22" s="9" t="s">
        <v>21</v>
      </c>
      <c r="D22" s="9" t="s">
        <v>17</v>
      </c>
      <c r="E22" s="10" t="s">
        <v>60</v>
      </c>
      <c r="F22" s="5">
        <v>45881</v>
      </c>
      <c r="G22" s="5">
        <v>45912</v>
      </c>
      <c r="H22" s="7">
        <v>5750</v>
      </c>
      <c r="I22" s="9" t="s">
        <v>39</v>
      </c>
      <c r="J22" s="7">
        <f ca="1">MAX(0,TODAY()-G22)</f>
        <v>76</v>
      </c>
      <c r="K22" s="8">
        <f>IF(I22="N",H22,0)</f>
        <v>5750</v>
      </c>
      <c r="L22" s="4" t="str">
        <f ca="1">IF(J22&lt;90,"61-90")</f>
        <v>61-90</v>
      </c>
    </row>
    <row r="23" spans="2:12" x14ac:dyDescent="0.25">
      <c r="B23" s="4" t="s">
        <v>33</v>
      </c>
      <c r="C23" s="4" t="s">
        <v>21</v>
      </c>
      <c r="D23" s="4" t="s">
        <v>14</v>
      </c>
      <c r="E23" s="4" t="s">
        <v>61</v>
      </c>
      <c r="F23" s="5">
        <v>45883</v>
      </c>
      <c r="G23" s="5">
        <v>45914</v>
      </c>
      <c r="H23" s="6">
        <v>13300</v>
      </c>
      <c r="I23" s="4" t="s">
        <v>39</v>
      </c>
      <c r="J23" s="7">
        <f ca="1">MAX(0,TODAY()-G23)</f>
        <v>74</v>
      </c>
      <c r="K23" s="8">
        <f>IF(I23="N",H23,0)</f>
        <v>13300</v>
      </c>
      <c r="L23" s="4" t="str">
        <f ca="1">IF(J23&lt;90,"61-90")</f>
        <v>61-90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 </vt:lpstr>
      <vt:lpstr>Paid vs Unpaid Trend</vt:lpstr>
      <vt:lpstr>Overdue by Region</vt:lpstr>
      <vt:lpstr>Customer Type Mix</vt:lpstr>
      <vt:lpstr>Top 10</vt:lpstr>
      <vt:lpstr>Data</vt:lpstr>
    </vt:vector>
  </TitlesOfParts>
  <Company>Straumann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Dumi Ntsinde</dc:creator>
  <cp:lastModifiedBy>Dumi Ntsinde</cp:lastModifiedBy>
  <dcterms:created xsi:type="dcterms:W3CDTF">2025-11-27T12:44:35Z</dcterms:created>
  <dcterms:modified xsi:type="dcterms:W3CDTF">2025-11-27T16:52:32Z</dcterms:modified>
</cp:coreProperties>
</file>